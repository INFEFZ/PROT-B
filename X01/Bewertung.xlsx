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psobildung-my.sharepoint.com/personal/lukas_mueller_dozent_ipso_ch/Documents/IBZ/HF/HF-PT/Programmiertechnik B/Praxisarbeit/2025/"/>
    </mc:Choice>
  </mc:AlternateContent>
  <xr:revisionPtr revIDLastSave="161" documentId="8_{F8E19D58-5D38-419D-A14F-092E8E479E73}" xr6:coauthVersionLast="47" xr6:coauthVersionMax="47" xr10:uidLastSave="{9C31DC05-CDA3-42CA-8324-5CBAF8421B8B}"/>
  <bookViews>
    <workbookView xWindow="310" yWindow="100" windowWidth="21320" windowHeight="20880" firstSheet="2" activeTab="10" xr2:uid="{73BB0F8F-8FAE-4A65-A5E4-1A0E05D2C658}"/>
  </bookViews>
  <sheets>
    <sheet name="Phile" sheetId="1" r:id="rId1"/>
    <sheet name="Sven" sheetId="2" r:id="rId2"/>
    <sheet name="Cristian" sheetId="3" r:id="rId3"/>
    <sheet name="Adrian" sheetId="4" r:id="rId4"/>
    <sheet name="Bismark" sheetId="5" r:id="rId5"/>
    <sheet name="Christoph" sheetId="6" r:id="rId6"/>
    <sheet name="Endri" sheetId="7" r:id="rId7"/>
    <sheet name="Leandro" sheetId="8" r:id="rId8"/>
    <sheet name="Manuel" sheetId="9" r:id="rId9"/>
    <sheet name="Patriot" sheetId="10" r:id="rId10"/>
    <sheet name="Salih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1" l="1"/>
  <c r="D14" i="11" s="1"/>
  <c r="D13" i="10"/>
  <c r="D14" i="10" s="1"/>
  <c r="D13" i="9"/>
  <c r="D14" i="9" s="1"/>
  <c r="D13" i="8"/>
  <c r="D14" i="8" s="1"/>
  <c r="D13" i="7"/>
  <c r="D14" i="7" s="1"/>
  <c r="D13" i="6"/>
  <c r="D14" i="6" s="1"/>
  <c r="D13" i="5"/>
  <c r="D14" i="5" s="1"/>
  <c r="D13" i="4"/>
  <c r="D14" i="4" s="1"/>
  <c r="D13" i="3"/>
  <c r="D14" i="3" s="1"/>
  <c r="D13" i="2"/>
  <c r="D14" i="2" s="1"/>
  <c r="D13" i="1"/>
  <c r="D14" i="1" s="1"/>
</calcChain>
</file>

<file path=xl/sharedStrings.xml><?xml version="1.0" encoding="utf-8"?>
<sst xmlns="http://schemas.openxmlformats.org/spreadsheetml/2006/main" count="275" uniqueCount="59">
  <si>
    <t>Formale Aspekte</t>
  </si>
  <si>
    <t>Praxistaugliches Ergebnis/Vorschlag</t>
  </si>
  <si>
    <t>Kriterium</t>
  </si>
  <si>
    <t>Erwartung</t>
  </si>
  <si>
    <t>Skala</t>
  </si>
  <si>
    <t>Punkte</t>
  </si>
  <si>
    <t>alle Fragen beantwortet, 
niveaugerechte Sprache, 
korrekte Verwendung von Fachbegriffen, 
saubere Quellenangaben, 
verständlicher und
 professioneller Ausdruck (inkl. Rechtschreibung)</t>
  </si>
  <si>
    <t>Der Erfüllungsgrad wird pro Kriterium 
mit 0 bis 3 Punkten beurteilt.</t>
  </si>
  <si>
    <t>Güte der thematischen Auseinandersetzung</t>
  </si>
  <si>
    <t>niveaugerechter, 
fachlicher Tiefgang der Arbeit (Substanz), 
Relevanz und Güte der verwendeten Quellen in Bezug auf die Arbeit, 
korrekte Anwendung der Instrumente.</t>
  </si>
  <si>
    <t>logisch nachvollziehbare Argumentation innerhalb der Aufgaben 
sowie logische Argumentationsketten/Stringenz (roter Faden) 
der Aussagen über die gesamte Arbeit.</t>
  </si>
  <si>
    <t>Nachvollziehbare Vorgehensweise</t>
  </si>
  <si>
    <t>Einschätzung der Praxistauglichkeit, 
konkretes /spezifisches Eingehen 
auf den eigenen Fall/Kontext (vermeiden von generalisierenden Aussagen).</t>
  </si>
  <si>
    <t>Der Erfüllungsgrad wird 
pro Kriterium mit 0 bis 3 Punkten beurteilt.</t>
  </si>
  <si>
    <t>Management Summary: 
Klarheit und Prägnanz, 
gelingt der Fokus auf das Wesentliche, 
Tauglichkeit für die Geschäftsleitung.</t>
  </si>
  <si>
    <t>Total</t>
  </si>
  <si>
    <t>Bemerkungen</t>
  </si>
  <si>
    <t>Praxisarbeit</t>
  </si>
  <si>
    <t>Note</t>
  </si>
  <si>
    <t>Philemon Amman</t>
  </si>
  <si>
    <t>Rekursion beim Eingabelogik ist falsch
geringe Modularisierung</t>
  </si>
  <si>
    <t>Radom Hinternisse Initialisierung fehlt
Alle Zeichen hard coded
Keine Standardkommentare verwendet</t>
  </si>
  <si>
    <t>Sven</t>
  </si>
  <si>
    <t>Management Summery fehlt</t>
  </si>
  <si>
    <t>Testfälle nicht definiert
Systemvorausetzungen fehlen (Entwicklungsprodukte, Tools, Versionen)</t>
  </si>
  <si>
    <t>Systemdesign der Logik fehlt</t>
  </si>
  <si>
    <t>Viel Code (Printscreen), wenig Text</t>
  </si>
  <si>
    <t>Detaillierte Lösungsbeschreibung zur Logik fehlt</t>
  </si>
  <si>
    <t>Formattechnische Fehler</t>
  </si>
  <si>
    <t>Modularisierung nicht in Design (Ablauf) ersichtlich
Systemvorausetzungen fehlen (Entwicklungsprodukte, Tools, Versionen)</t>
  </si>
  <si>
    <t>Keine Code Kommentare verwendet
Funktionen im Code nicht dokumentiert</t>
  </si>
  <si>
    <t>Cristian</t>
  </si>
  <si>
    <t>Adrian</t>
  </si>
  <si>
    <t>Beschreibung zur Projektstruktur u. Dateien fehlen
Detaillierte Beschreibung zur Logik (PAP) fehlt
Alle Zeichen hard coded
Systemvorausetzungen fehlen (Entwicklungsprodukte, Tools, Versionen)</t>
  </si>
  <si>
    <t>Keine Code Kommentare verwendet
Funktionen im Code nicht dokumentiert
Statische Initialisierung
Minimale Modularisierung</t>
  </si>
  <si>
    <t>Sehr kurz gefasst</t>
  </si>
  <si>
    <t>Bismark</t>
  </si>
  <si>
    <t>Inhaltsverzeichnis fehlt
Fuss- und Kopfzeilen fehlen
Seitennummern fehlen</t>
  </si>
  <si>
    <t>Logik unzureichend dokumentiert</t>
  </si>
  <si>
    <t>Keine Code Kommentare verwendet
Funktionen im Code nicht dokumentiert
Statische Initialisierung
Keine Modularisierung</t>
  </si>
  <si>
    <t>Christoph</t>
  </si>
  <si>
    <t xml:space="preserve">Testfälle nicht definiert
Variablen mit Umlaute
Codeformatierung ungenügend
Zeichen sind hard coded
</t>
  </si>
  <si>
    <t>Beschreibung zur Projektstruktur u. aller Dateien fehlen
Modularisierung in Logik nicht erkannbar
Systemvorausetzungen fehlen (Entwicklungsprodukte, Tools, Versionen)</t>
  </si>
  <si>
    <t>Endri</t>
  </si>
  <si>
    <t>Logik nicht dokumentiert</t>
  </si>
  <si>
    <t>Zu wenig Text, sehr kurz
Ungenügend</t>
  </si>
  <si>
    <t>Testfälle zu kurz und zu allgemeint
Dokumentation in Code fehlt
Zeichen sind hard coded
KI Lösung</t>
  </si>
  <si>
    <t>Leandro</t>
  </si>
  <si>
    <t>Zeichen sind z.T. hard coded
Testfälle zu allg. Festgelegt</t>
  </si>
  <si>
    <t>Manuel</t>
  </si>
  <si>
    <t>Keine Standard IPSO Vorlage verwendet</t>
  </si>
  <si>
    <t>Beschreibung zur Logik fehlt
Funktion der Logik nicht dokumentiert</t>
  </si>
  <si>
    <t>Code Kommentare zu den Funktionen fehlen</t>
  </si>
  <si>
    <t>Patriot</t>
  </si>
  <si>
    <t xml:space="preserve">Design der Logik fehlt komplett
</t>
  </si>
  <si>
    <t>Keine Modularisierung umgesetzt (nur main.c)
Alle Zeichen sind hard coded
Kommentare im Code fehlen</t>
  </si>
  <si>
    <t>Salih</t>
  </si>
  <si>
    <t>Management Summary vor Inhaltsverzeichnis</t>
  </si>
  <si>
    <t>Testflälle fehlen
Systemvorausetzungen fehlen (Entwicklungsprodukte, Tools, Versionen)
Minimale Modularisierung
Zeichen sind hard coded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</si>
</sst>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top" wrapText="1"/>
    </xf>
  </cellXfs>
  <cellStyles count="1">
    <cellStyle name="Standard" xfId="0" builtinId="0"/>
  </cellStyles>
  <dxfs count="7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71C586-C4B0-4F17-8CA9-2CA37A341906}" name="Tabelle2" displayName="Tabelle2" ref="A4:E14" totalsRowShown="0" headerRowDxfId="76" dataDxfId="75">
  <autoFilter ref="A4:E14" xr:uid="{C371C586-C4B0-4F17-8CA9-2CA37A341906}"/>
  <tableColumns count="5">
    <tableColumn id="1" xr3:uid="{5DEAA2F5-CC25-4CBB-B7B4-68F2739650BD}" name="Kriterium" dataDxfId="74"/>
    <tableColumn id="2" xr3:uid="{D3A1301E-00F2-46E2-A642-0485645FA0DE}" name="Erwartung" dataDxfId="73"/>
    <tableColumn id="3" xr3:uid="{02EBD2CA-9A2D-4C74-A03F-FAE11344C609}" name="Skala" dataDxfId="72"/>
    <tableColumn id="4" xr3:uid="{F8B2FBDE-077E-48C7-BB42-05FD6B96DF30}" name="Punkte" dataDxfId="71"/>
    <tableColumn id="6" xr3:uid="{60992780-F6DA-478B-A4BF-013D9DDF3F79}" name="Bemerkungen" dataDxfId="7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5F6C8-928E-4076-87AA-376A0F335529}" name="Tabelle22" displayName="Tabelle22" ref="A4:E14" totalsRowShown="0" headerRowDxfId="69" dataDxfId="68">
  <autoFilter ref="A4:E14" xr:uid="{1A25F6C8-928E-4076-87AA-376A0F335529}"/>
  <tableColumns count="5">
    <tableColumn id="1" xr3:uid="{570421D4-8AA0-4416-95B1-2F8F09FA4732}" name="Kriterium" dataDxfId="67"/>
    <tableColumn id="2" xr3:uid="{9AA584F9-9BEC-4623-BE4B-E6A874D7F3A4}" name="Erwartung" dataDxfId="66"/>
    <tableColumn id="3" xr3:uid="{436E3A9B-31B4-42DA-9765-66BCEF62CC76}" name="Skala" dataDxfId="65"/>
    <tableColumn id="4" xr3:uid="{6B23BA07-1FDE-4E8B-9BE8-677BC7AC7A2C}" name="Punkte" dataDxfId="64"/>
    <tableColumn id="6" xr3:uid="{5A2F9FE0-DAAD-4294-BD7E-EE47F730ABD0}" name="Bemerkungen" dataDxfId="63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5F71C2-FE0B-43A6-9306-F132DB8E023F}" name="Tabelle224" displayName="Tabelle224" ref="A4:E14" totalsRowShown="0" headerRowDxfId="62" dataDxfId="61">
  <autoFilter ref="A4:E14" xr:uid="{165F71C2-FE0B-43A6-9306-F132DB8E023F}"/>
  <tableColumns count="5">
    <tableColumn id="1" xr3:uid="{07BB18A8-7E6F-4FF3-B51B-CF175B7A05C6}" name="Kriterium" dataDxfId="60"/>
    <tableColumn id="2" xr3:uid="{20F93FBE-8F04-4A05-8130-11D313FF04AF}" name="Erwartung" dataDxfId="59"/>
    <tableColumn id="3" xr3:uid="{C2972ABF-C6E2-4648-B351-5C3F5B4E9A23}" name="Skala" dataDxfId="58"/>
    <tableColumn id="4" xr3:uid="{DBA5D98F-DD5E-45CF-B6B3-C491CE124048}" name="Punkte" dataDxfId="57"/>
    <tableColumn id="6" xr3:uid="{2BD21ED8-BA09-4472-8FC5-11383D029DFD}" name="Bemerkungen" dataDxfId="56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23F7BA-0479-4839-A4AC-B1E89E7B968D}" name="Tabelle2245" displayName="Tabelle2245" ref="A4:E14" totalsRowShown="0" headerRowDxfId="55" dataDxfId="54">
  <autoFilter ref="A4:E14" xr:uid="{3C23F7BA-0479-4839-A4AC-B1E89E7B968D}"/>
  <tableColumns count="5">
    <tableColumn id="1" xr3:uid="{BFA0E530-B36B-4F10-A450-8185163BEBFD}" name="Kriterium" dataDxfId="53"/>
    <tableColumn id="2" xr3:uid="{CED5DF6D-9C37-4509-AB20-DA725D0984DC}" name="Erwartung" dataDxfId="52"/>
    <tableColumn id="3" xr3:uid="{FB6D8F15-B42E-4EBC-AA3E-29ADA5E4AEF6}" name="Skala" dataDxfId="51"/>
    <tableColumn id="4" xr3:uid="{5E7239B7-B87A-4B14-A62E-93299FC9A90D}" name="Punkte" dataDxfId="50"/>
    <tableColumn id="6" xr3:uid="{88D9758A-2D25-4D78-9954-A163CD77E0C1}" name="Bemerkungen" dataDxfId="49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0EB639-2EC5-4F38-919E-0631BAB86E43}" name="Tabelle22456" displayName="Tabelle22456" ref="A4:E14" totalsRowShown="0" headerRowDxfId="48" dataDxfId="47">
  <autoFilter ref="A4:E14" xr:uid="{E60EB639-2EC5-4F38-919E-0631BAB86E43}"/>
  <tableColumns count="5">
    <tableColumn id="1" xr3:uid="{96C63444-5FC1-49FD-87B6-457EEBAB50E1}" name="Kriterium" dataDxfId="46"/>
    <tableColumn id="2" xr3:uid="{61C787D9-3D01-4864-9C42-8A65ADD674A4}" name="Erwartung" dataDxfId="45"/>
    <tableColumn id="3" xr3:uid="{427878DF-DBAA-4BA1-B39F-E0AC326B28D8}" name="Skala" dataDxfId="44"/>
    <tableColumn id="4" xr3:uid="{21ECF1C9-2FA2-4E77-844F-EC2AAD0B017F}" name="Punkte" dataDxfId="43"/>
    <tableColumn id="6" xr3:uid="{A545850D-3BD0-4F71-AB4E-C31868561790}" name="Bemerkungen" dataDxfId="42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6D2F97-4EEA-4574-9A14-83C39CC39EA5}" name="Tabelle224567" displayName="Tabelle224567" ref="A4:E14" totalsRowShown="0" headerRowDxfId="41" dataDxfId="40">
  <autoFilter ref="A4:E14" xr:uid="{F26D2F97-4EEA-4574-9A14-83C39CC39EA5}"/>
  <tableColumns count="5">
    <tableColumn id="1" xr3:uid="{BD4992F2-609A-40DD-BC8D-80FB893D09FD}" name="Kriterium" dataDxfId="39"/>
    <tableColumn id="2" xr3:uid="{8BB091E6-6375-4325-8646-D66706A1E84F}" name="Erwartung" dataDxfId="38"/>
    <tableColumn id="3" xr3:uid="{84DD588A-CA90-4BF3-BFEA-E228AAA3CCE3}" name="Skala" dataDxfId="37"/>
    <tableColumn id="4" xr3:uid="{0F151DC8-960F-4217-9924-E6F9EB81B61D}" name="Punkte" dataDxfId="36"/>
    <tableColumn id="6" xr3:uid="{EA313FCF-C3BF-46DB-8D78-C5585ECACC40}" name="Bemerkungen" dataDxfId="35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4AA891-8D74-41D6-A120-35777BDC193C}" name="Tabelle2245678" displayName="Tabelle2245678" ref="A4:E14" totalsRowShown="0" headerRowDxfId="34" dataDxfId="33">
  <autoFilter ref="A4:E14" xr:uid="{C74AA891-8D74-41D6-A120-35777BDC193C}"/>
  <tableColumns count="5">
    <tableColumn id="1" xr3:uid="{0A97C4FE-73D0-4123-9F48-E856DA2164FC}" name="Kriterium" dataDxfId="32"/>
    <tableColumn id="2" xr3:uid="{308D24E2-E241-43D6-9C80-2C9053402CA4}" name="Erwartung" dataDxfId="31"/>
    <tableColumn id="3" xr3:uid="{528AA116-0D58-4C46-A095-D372D7C92DED}" name="Skala" dataDxfId="30"/>
    <tableColumn id="4" xr3:uid="{A6DB664B-B9A5-4FB7-9294-D7E2BF437BEB}" name="Punkte" dataDxfId="29"/>
    <tableColumn id="6" xr3:uid="{EC52B2E8-AD61-497E-ABB8-39C958B88EF7}" name="Bemerkungen" dataDxfId="28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00B2AF1-CC6F-4AED-BB26-B8126AAED30D}" name="Tabelle22456789" displayName="Tabelle22456789" ref="A4:E14" totalsRowShown="0" headerRowDxfId="27" dataDxfId="26">
  <autoFilter ref="A4:E14" xr:uid="{C00B2AF1-CC6F-4AED-BB26-B8126AAED30D}"/>
  <tableColumns count="5">
    <tableColumn id="1" xr3:uid="{C1B119E4-2184-4EE4-B714-F298D58F35E1}" name="Kriterium" dataDxfId="25"/>
    <tableColumn id="2" xr3:uid="{49214ED1-18A6-465E-875E-4830C0C2DA71}" name="Erwartung" dataDxfId="24"/>
    <tableColumn id="3" xr3:uid="{69CF37A9-D5ED-45B8-BB7D-2DABEAD61F3A}" name="Skala" dataDxfId="23"/>
    <tableColumn id="4" xr3:uid="{DD720B3D-4C37-463F-8BF0-B57FE8A47548}" name="Punkte" dataDxfId="22"/>
    <tableColumn id="6" xr3:uid="{C91BB8DA-F056-4A9A-BC4E-10FFB536480E}" name="Bemerkungen" dataDxfId="21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0E0436-F903-4181-9CAE-F91E4E49118E}" name="Tabelle2245678910" displayName="Tabelle2245678910" ref="A4:E14" totalsRowShown="0" headerRowDxfId="20" dataDxfId="19">
  <autoFilter ref="A4:E14" xr:uid="{6D0E0436-F903-4181-9CAE-F91E4E49118E}"/>
  <tableColumns count="5">
    <tableColumn id="1" xr3:uid="{5A29B213-9CD8-4EB2-AF85-2F143EAF153E}" name="Kriterium" dataDxfId="18"/>
    <tableColumn id="2" xr3:uid="{115E2A19-FD9F-4785-8E51-806BFF2A49B9}" name="Erwartung" dataDxfId="17"/>
    <tableColumn id="3" xr3:uid="{82A44AFA-A3AD-4B9D-B3ED-7F04CE0120D5}" name="Skala" dataDxfId="16"/>
    <tableColumn id="4" xr3:uid="{85C8A5AE-DB0C-4153-9109-1CF96CFA4DFE}" name="Punkte" dataDxfId="15"/>
    <tableColumn id="6" xr3:uid="{B3349D2C-1D8B-4234-8075-FFDFC3D135F6}" name="Bemerkungen" dataDxfId="14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8406654-C5C2-4031-88C0-637BC9D25AA6}" name="Tabelle224567891011" displayName="Tabelle224567891011" ref="A4:E14" totalsRowShown="0" headerRowDxfId="13" dataDxfId="12">
  <autoFilter ref="A4:E14" xr:uid="{38406654-C5C2-4031-88C0-637BC9D25AA6}"/>
  <tableColumns count="5">
    <tableColumn id="1" xr3:uid="{0C9D00C8-2DD7-4422-A4C9-7C1D05544364}" name="Kriterium" dataDxfId="11"/>
    <tableColumn id="2" xr3:uid="{C667C02E-835C-4951-84C9-B67E006C97C1}" name="Erwartung" dataDxfId="10"/>
    <tableColumn id="3" xr3:uid="{581211FE-A359-4E64-9864-7147A1B31272}" name="Skala" dataDxfId="9"/>
    <tableColumn id="4" xr3:uid="{44E15936-B93E-4850-9E73-8F3F5378AAB1}" name="Punkte" dataDxfId="8"/>
    <tableColumn id="6" xr3:uid="{E15802A7-2568-4189-8155-DE531E04DA4F}" name="Bemerkungen" dataDxfId="7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A6816D-65CF-4E1B-9A36-94A9596E0E8B}" name="Tabelle22456789101112" displayName="Tabelle22456789101112" ref="A4:E14" totalsRowShown="0" headerRowDxfId="6" dataDxfId="5">
  <autoFilter ref="A4:E14" xr:uid="{C1A6816D-65CF-4E1B-9A36-94A9596E0E8B}"/>
  <tableColumns count="5">
    <tableColumn id="1" xr3:uid="{14E5DEBA-62DD-44E3-A7FB-83A76F5503D8}" name="Kriterium" dataDxfId="4"/>
    <tableColumn id="2" xr3:uid="{98FC48E7-3030-488D-B9D3-5738A78DDF13}" name="Erwartung" dataDxfId="3"/>
    <tableColumn id="3" xr3:uid="{81A009AC-F650-4952-99C7-D6660D9F140A}" name="Skala" dataDxfId="2"/>
    <tableColumn id="4" xr3:uid="{1A0B6BBA-01E5-4255-8E89-98A161636187}" name="Punkte" dataDxfId="1"/>
    <tableColumn id="6" xr3:uid="{D1A4E1AE-1721-4268-9D5C-98F86434DBAB}" name="Bemerkungen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7E7A-7E41-4E74-B59B-8C0B61510888}">
  <dimension ref="A1:E14"/>
  <sheetViews>
    <sheetView workbookViewId="0">
      <selection activeCell="E9" sqref="E9"/>
    </sheetView>
  </sheetViews>
  <sheetFormatPr baseColWidth="10" defaultRowHeight="18.5" x14ac:dyDescent="0.35"/>
  <cols>
    <col min="1" max="1" width="29.7265625" style="3" customWidth="1"/>
    <col min="2" max="2" width="54.81640625" style="3" customWidth="1"/>
    <col min="3" max="3" width="27.81640625" style="3" customWidth="1"/>
    <col min="4" max="4" width="10.90625" style="3"/>
    <col min="5" max="5" width="53.54296875" style="3" customWidth="1"/>
    <col min="6" max="16384" width="10.90625" style="3"/>
  </cols>
  <sheetData>
    <row r="1" spans="1:5" x14ac:dyDescent="0.35">
      <c r="A1" s="3" t="s">
        <v>17</v>
      </c>
    </row>
    <row r="3" spans="1:5" x14ac:dyDescent="0.35">
      <c r="A3" s="3" t="s">
        <v>19</v>
      </c>
    </row>
    <row r="4" spans="1:5" x14ac:dyDescent="0.35">
      <c r="A4" s="6" t="s">
        <v>2</v>
      </c>
      <c r="B4" s="6" t="s">
        <v>3</v>
      </c>
      <c r="C4" s="6" t="s">
        <v>4</v>
      </c>
      <c r="D4" s="6" t="s">
        <v>5</v>
      </c>
      <c r="E4" s="4" t="s">
        <v>16</v>
      </c>
    </row>
    <row r="5" spans="1:5" ht="96" x14ac:dyDescent="0.35">
      <c r="A5" s="2" t="s">
        <v>0</v>
      </c>
      <c r="B5" s="2" t="s">
        <v>6</v>
      </c>
      <c r="C5" s="2" t="s">
        <v>7</v>
      </c>
      <c r="D5" s="7">
        <v>3</v>
      </c>
      <c r="E5" s="9"/>
    </row>
    <row r="6" spans="1:5" x14ac:dyDescent="0.35">
      <c r="A6" s="2"/>
      <c r="B6" s="1"/>
      <c r="C6" s="2"/>
      <c r="D6" s="7"/>
      <c r="E6" s="9"/>
    </row>
    <row r="7" spans="1:5" ht="80" x14ac:dyDescent="0.35">
      <c r="A7" s="2" t="s">
        <v>8</v>
      </c>
      <c r="B7" s="2" t="s">
        <v>9</v>
      </c>
      <c r="C7" s="2" t="s">
        <v>13</v>
      </c>
      <c r="D7" s="7">
        <v>3</v>
      </c>
      <c r="E7" s="9" t="s">
        <v>20</v>
      </c>
    </row>
    <row r="8" spans="1:5" x14ac:dyDescent="0.35">
      <c r="A8" s="2"/>
      <c r="B8" s="2"/>
      <c r="C8" s="2"/>
      <c r="D8" s="7"/>
      <c r="E8" s="9"/>
    </row>
    <row r="9" spans="1:5" ht="64" x14ac:dyDescent="0.35">
      <c r="A9" s="2" t="s">
        <v>11</v>
      </c>
      <c r="B9" s="2" t="s">
        <v>10</v>
      </c>
      <c r="C9" s="2" t="s">
        <v>13</v>
      </c>
      <c r="D9" s="7">
        <v>2</v>
      </c>
      <c r="E9" s="9" t="s">
        <v>24</v>
      </c>
    </row>
    <row r="10" spans="1:5" x14ac:dyDescent="0.35">
      <c r="A10" s="2"/>
      <c r="B10" s="2"/>
      <c r="C10" s="2"/>
      <c r="D10" s="7"/>
      <c r="E10" s="9"/>
    </row>
    <row r="11" spans="1:5" ht="64" x14ac:dyDescent="0.35">
      <c r="A11" s="2" t="s">
        <v>1</v>
      </c>
      <c r="B11" s="2" t="s">
        <v>12</v>
      </c>
      <c r="C11" s="2" t="s">
        <v>13</v>
      </c>
      <c r="D11" s="7">
        <v>2</v>
      </c>
      <c r="E11" s="9" t="s">
        <v>21</v>
      </c>
    </row>
    <row r="12" spans="1:5" ht="64" x14ac:dyDescent="0.35">
      <c r="A12" s="2"/>
      <c r="B12" s="2" t="s">
        <v>14</v>
      </c>
      <c r="C12" s="2"/>
      <c r="D12" s="7"/>
      <c r="E12" s="9"/>
    </row>
    <row r="13" spans="1:5" x14ac:dyDescent="0.35">
      <c r="A13" s="2"/>
      <c r="B13" s="2"/>
      <c r="C13" s="2" t="s">
        <v>15</v>
      </c>
      <c r="D13" s="7">
        <f>SUM(D5:D12)</f>
        <v>10</v>
      </c>
      <c r="E13" s="5"/>
    </row>
    <row r="14" spans="1:5" x14ac:dyDescent="0.35">
      <c r="A14" s="2"/>
      <c r="B14" s="2"/>
      <c r="C14" s="2" t="s">
        <v>18</v>
      </c>
      <c r="D14" s="8">
        <f>D13*5/12+1</f>
        <v>5.166666666666667</v>
      </c>
      <c r="E14" s="5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90A3-85FD-4003-AFFF-6AAC60DF8D0E}">
  <dimension ref="A1:E14"/>
  <sheetViews>
    <sheetView workbookViewId="0">
      <selection sqref="A1:XFD1048576"/>
    </sheetView>
  </sheetViews>
  <sheetFormatPr baseColWidth="10" defaultRowHeight="18.5" x14ac:dyDescent="0.35"/>
  <cols>
    <col min="1" max="1" width="29.7265625" style="3" customWidth="1"/>
    <col min="2" max="2" width="54.81640625" style="3" customWidth="1"/>
    <col min="3" max="3" width="27.81640625" style="3" customWidth="1"/>
    <col min="4" max="4" width="10.90625" style="3"/>
    <col min="5" max="5" width="53.54296875" style="3" customWidth="1"/>
    <col min="6" max="16384" width="10.90625" style="3"/>
  </cols>
  <sheetData>
    <row r="1" spans="1:5" x14ac:dyDescent="0.35">
      <c r="A1" s="3" t="s">
        <v>17</v>
      </c>
    </row>
    <row r="3" spans="1:5" x14ac:dyDescent="0.35">
      <c r="A3" s="3" t="s">
        <v>22</v>
      </c>
    </row>
    <row r="4" spans="1:5" x14ac:dyDescent="0.35">
      <c r="A4" s="6" t="s">
        <v>2</v>
      </c>
      <c r="B4" s="6" t="s">
        <v>3</v>
      </c>
      <c r="C4" s="6" t="s">
        <v>4</v>
      </c>
      <c r="D4" s="6" t="s">
        <v>5</v>
      </c>
      <c r="E4" s="4" t="s">
        <v>16</v>
      </c>
    </row>
    <row r="5" spans="1:5" ht="96" x14ac:dyDescent="0.35">
      <c r="A5" s="2" t="s">
        <v>0</v>
      </c>
      <c r="B5" s="2" t="s">
        <v>6</v>
      </c>
      <c r="C5" s="2" t="s">
        <v>7</v>
      </c>
      <c r="D5" s="7">
        <v>3</v>
      </c>
      <c r="E5" s="9" t="s">
        <v>26</v>
      </c>
    </row>
    <row r="6" spans="1:5" x14ac:dyDescent="0.35">
      <c r="A6" s="2"/>
      <c r="B6" s="1"/>
      <c r="C6" s="2"/>
      <c r="D6" s="7"/>
      <c r="E6" s="9"/>
    </row>
    <row r="7" spans="1:5" ht="80" x14ac:dyDescent="0.35">
      <c r="A7" s="2" t="s">
        <v>8</v>
      </c>
      <c r="B7" s="2" t="s">
        <v>9</v>
      </c>
      <c r="C7" s="2" t="s">
        <v>13</v>
      </c>
      <c r="D7" s="7">
        <v>3</v>
      </c>
      <c r="E7" s="9" t="s">
        <v>27</v>
      </c>
    </row>
    <row r="8" spans="1:5" x14ac:dyDescent="0.35">
      <c r="A8" s="2"/>
      <c r="B8" s="2"/>
      <c r="C8" s="2"/>
      <c r="D8" s="7"/>
      <c r="E8" s="9"/>
    </row>
    <row r="9" spans="1:5" ht="64" x14ac:dyDescent="0.35">
      <c r="A9" s="2" t="s">
        <v>11</v>
      </c>
      <c r="B9" s="2" t="s">
        <v>10</v>
      </c>
      <c r="C9" s="2" t="s">
        <v>13</v>
      </c>
      <c r="D9" s="7">
        <v>3</v>
      </c>
      <c r="E9" s="9" t="s">
        <v>25</v>
      </c>
    </row>
    <row r="10" spans="1:5" x14ac:dyDescent="0.35">
      <c r="A10" s="2"/>
      <c r="B10" s="2"/>
      <c r="C10" s="2"/>
      <c r="D10" s="7"/>
      <c r="E10" s="9"/>
    </row>
    <row r="11" spans="1:5" ht="64" x14ac:dyDescent="0.35">
      <c r="A11" s="2" t="s">
        <v>1</v>
      </c>
      <c r="B11" s="2" t="s">
        <v>12</v>
      </c>
      <c r="C11" s="2" t="s">
        <v>13</v>
      </c>
      <c r="D11" s="7">
        <v>2</v>
      </c>
      <c r="E11" s="9" t="s">
        <v>23</v>
      </c>
    </row>
    <row r="12" spans="1:5" ht="64" x14ac:dyDescent="0.35">
      <c r="A12" s="2"/>
      <c r="B12" s="2" t="s">
        <v>14</v>
      </c>
      <c r="C12" s="2"/>
      <c r="D12" s="7"/>
      <c r="E12" s="9"/>
    </row>
    <row r="13" spans="1:5" x14ac:dyDescent="0.35">
      <c r="A13" s="2"/>
      <c r="B13" s="2"/>
      <c r="C13" s="2" t="s">
        <v>15</v>
      </c>
      <c r="D13" s="7">
        <f>SUM(D5:D12)</f>
        <v>11</v>
      </c>
      <c r="E13" s="5"/>
    </row>
    <row r="14" spans="1:5" x14ac:dyDescent="0.35">
      <c r="A14" s="2"/>
      <c r="B14" s="2"/>
      <c r="C14" s="2" t="s">
        <v>18</v>
      </c>
      <c r="D14" s="8">
        <f>D13*5/12+1</f>
        <v>5.583333333333333</v>
      </c>
      <c r="E14" s="5"/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4474-993A-48BF-97A1-96A37BDDD559}">
  <dimension ref="A1:E14"/>
  <sheetViews>
    <sheetView workbookViewId="0">
      <selection activeCell="E9" sqref="E9"/>
    </sheetView>
  </sheetViews>
  <sheetFormatPr baseColWidth="10" defaultRowHeight="18.5" x14ac:dyDescent="0.35"/>
  <cols>
    <col min="1" max="1" width="29.7265625" style="3" customWidth="1"/>
    <col min="2" max="2" width="54.81640625" style="3" customWidth="1"/>
    <col min="3" max="3" width="27.81640625" style="3" customWidth="1"/>
    <col min="4" max="4" width="10.90625" style="3"/>
    <col min="5" max="5" width="53.54296875" style="3" customWidth="1"/>
    <col min="6" max="16384" width="10.90625" style="3"/>
  </cols>
  <sheetData>
    <row r="1" spans="1:5" x14ac:dyDescent="0.35">
      <c r="A1" s="3" t="s">
        <v>17</v>
      </c>
    </row>
    <row r="3" spans="1:5" x14ac:dyDescent="0.35">
      <c r="A3" s="3" t="s">
        <v>31</v>
      </c>
    </row>
    <row r="4" spans="1:5" x14ac:dyDescent="0.35">
      <c r="A4" s="6" t="s">
        <v>2</v>
      </c>
      <c r="B4" s="6" t="s">
        <v>3</v>
      </c>
      <c r="C4" s="6" t="s">
        <v>4</v>
      </c>
      <c r="D4" s="6" t="s">
        <v>5</v>
      </c>
      <c r="E4" s="4" t="s">
        <v>16</v>
      </c>
    </row>
    <row r="5" spans="1:5" ht="96" x14ac:dyDescent="0.35">
      <c r="A5" s="2" t="s">
        <v>0</v>
      </c>
      <c r="B5" s="2" t="s">
        <v>6</v>
      </c>
      <c r="C5" s="2" t="s">
        <v>7</v>
      </c>
      <c r="D5" s="7">
        <v>3</v>
      </c>
      <c r="E5" s="9" t="s">
        <v>28</v>
      </c>
    </row>
    <row r="6" spans="1:5" x14ac:dyDescent="0.35">
      <c r="A6" s="2"/>
      <c r="B6" s="1"/>
      <c r="C6" s="2"/>
      <c r="D6" s="7"/>
      <c r="E6" s="9"/>
    </row>
    <row r="7" spans="1:5" ht="80" x14ac:dyDescent="0.35">
      <c r="A7" s="2" t="s">
        <v>8</v>
      </c>
      <c r="B7" s="2" t="s">
        <v>9</v>
      </c>
      <c r="C7" s="2" t="s">
        <v>13</v>
      </c>
      <c r="D7" s="7">
        <v>3</v>
      </c>
      <c r="E7" s="9"/>
    </row>
    <row r="8" spans="1:5" x14ac:dyDescent="0.35">
      <c r="A8" s="2"/>
      <c r="B8" s="2"/>
      <c r="C8" s="2"/>
      <c r="D8" s="7"/>
      <c r="E8" s="9"/>
    </row>
    <row r="9" spans="1:5" ht="64" x14ac:dyDescent="0.35">
      <c r="A9" s="2" t="s">
        <v>11</v>
      </c>
      <c r="B9" s="2" t="s">
        <v>10</v>
      </c>
      <c r="C9" s="2" t="s">
        <v>13</v>
      </c>
      <c r="D9" s="7">
        <v>2</v>
      </c>
      <c r="E9" s="9" t="s">
        <v>29</v>
      </c>
    </row>
    <row r="10" spans="1:5" x14ac:dyDescent="0.35">
      <c r="A10" s="2"/>
      <c r="B10" s="2"/>
      <c r="C10" s="2"/>
      <c r="D10" s="7"/>
      <c r="E10" s="9"/>
    </row>
    <row r="11" spans="1:5" ht="64" x14ac:dyDescent="0.35">
      <c r="A11" s="2" t="s">
        <v>1</v>
      </c>
      <c r="B11" s="2" t="s">
        <v>12</v>
      </c>
      <c r="C11" s="2" t="s">
        <v>13</v>
      </c>
      <c r="D11" s="7">
        <v>2</v>
      </c>
      <c r="E11" s="9" t="s">
        <v>30</v>
      </c>
    </row>
    <row r="12" spans="1:5" ht="64" x14ac:dyDescent="0.35">
      <c r="A12" s="2"/>
      <c r="B12" s="2" t="s">
        <v>14</v>
      </c>
      <c r="C12" s="2"/>
      <c r="D12" s="7"/>
      <c r="E12" s="9"/>
    </row>
    <row r="13" spans="1:5" x14ac:dyDescent="0.35">
      <c r="A13" s="2"/>
      <c r="B13" s="2"/>
      <c r="C13" s="2" t="s">
        <v>15</v>
      </c>
      <c r="D13" s="7">
        <f>SUM(D5:D12)</f>
        <v>10</v>
      </c>
      <c r="E13" s="5"/>
    </row>
    <row r="14" spans="1:5" x14ac:dyDescent="0.35">
      <c r="A14" s="2"/>
      <c r="B14" s="2"/>
      <c r="C14" s="2" t="s">
        <v>18</v>
      </c>
      <c r="D14" s="8">
        <f>D13*5/12+1</f>
        <v>5.166666666666667</v>
      </c>
      <c r="E14" s="5"/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E7B2-532A-4E9B-899C-24876AB9E958}">
  <dimension ref="A1:E14"/>
  <sheetViews>
    <sheetView workbookViewId="0">
      <selection sqref="A1:XFD1048576"/>
    </sheetView>
  </sheetViews>
  <sheetFormatPr baseColWidth="10" defaultRowHeight="18.5" x14ac:dyDescent="0.35"/>
  <cols>
    <col min="1" max="1" width="29.7265625" style="3" customWidth="1"/>
    <col min="2" max="2" width="54.81640625" style="3" customWidth="1"/>
    <col min="3" max="3" width="27.81640625" style="3" customWidth="1"/>
    <col min="4" max="4" width="10.90625" style="3"/>
    <col min="5" max="5" width="53.54296875" style="3" customWidth="1"/>
    <col min="6" max="16384" width="10.90625" style="3"/>
  </cols>
  <sheetData>
    <row r="1" spans="1:5" x14ac:dyDescent="0.35">
      <c r="A1" s="3" t="s">
        <v>17</v>
      </c>
    </row>
    <row r="3" spans="1:5" x14ac:dyDescent="0.35">
      <c r="A3" s="3" t="s">
        <v>32</v>
      </c>
    </row>
    <row r="4" spans="1:5" x14ac:dyDescent="0.35">
      <c r="A4" s="6" t="s">
        <v>2</v>
      </c>
      <c r="B4" s="6" t="s">
        <v>3</v>
      </c>
      <c r="C4" s="6" t="s">
        <v>4</v>
      </c>
      <c r="D4" s="6" t="s">
        <v>5</v>
      </c>
      <c r="E4" s="4" t="s">
        <v>16</v>
      </c>
    </row>
    <row r="5" spans="1:5" ht="96" x14ac:dyDescent="0.35">
      <c r="A5" s="2" t="s">
        <v>0</v>
      </c>
      <c r="B5" s="2" t="s">
        <v>6</v>
      </c>
      <c r="C5" s="2" t="s">
        <v>7</v>
      </c>
      <c r="D5" s="7">
        <v>2</v>
      </c>
      <c r="E5" s="9" t="s">
        <v>35</v>
      </c>
    </row>
    <row r="6" spans="1:5" x14ac:dyDescent="0.35">
      <c r="A6" s="2"/>
      <c r="B6" s="1"/>
      <c r="C6" s="2"/>
      <c r="D6" s="7"/>
      <c r="E6" s="9"/>
    </row>
    <row r="7" spans="1:5" ht="80" x14ac:dyDescent="0.35">
      <c r="A7" s="2" t="s">
        <v>8</v>
      </c>
      <c r="B7" s="2" t="s">
        <v>9</v>
      </c>
      <c r="C7" s="2" t="s">
        <v>13</v>
      </c>
      <c r="D7" s="7">
        <v>3</v>
      </c>
      <c r="E7" s="9"/>
    </row>
    <row r="8" spans="1:5" x14ac:dyDescent="0.35">
      <c r="A8" s="2"/>
      <c r="B8" s="2"/>
      <c r="C8" s="2"/>
      <c r="D8" s="7"/>
      <c r="E8" s="9"/>
    </row>
    <row r="9" spans="1:5" ht="65" x14ac:dyDescent="0.35">
      <c r="A9" s="2" t="s">
        <v>11</v>
      </c>
      <c r="B9" s="2" t="s">
        <v>10</v>
      </c>
      <c r="C9" s="2" t="s">
        <v>13</v>
      </c>
      <c r="D9" s="7">
        <v>2</v>
      </c>
      <c r="E9" s="9" t="s">
        <v>33</v>
      </c>
    </row>
    <row r="10" spans="1:5" x14ac:dyDescent="0.35">
      <c r="A10" s="2"/>
      <c r="B10" s="2"/>
      <c r="C10" s="2"/>
      <c r="D10" s="7"/>
      <c r="E10" s="9"/>
    </row>
    <row r="11" spans="1:5" ht="64" x14ac:dyDescent="0.35">
      <c r="A11" s="2" t="s">
        <v>1</v>
      </c>
      <c r="B11" s="2" t="s">
        <v>12</v>
      </c>
      <c r="C11" s="2" t="s">
        <v>13</v>
      </c>
      <c r="D11" s="7">
        <v>2</v>
      </c>
      <c r="E11" s="9" t="s">
        <v>34</v>
      </c>
    </row>
    <row r="12" spans="1:5" ht="64" x14ac:dyDescent="0.35">
      <c r="A12" s="2"/>
      <c r="B12" s="2" t="s">
        <v>14</v>
      </c>
      <c r="C12" s="2"/>
      <c r="D12" s="7"/>
      <c r="E12" s="9"/>
    </row>
    <row r="13" spans="1:5" x14ac:dyDescent="0.35">
      <c r="A13" s="2"/>
      <c r="B13" s="2"/>
      <c r="C13" s="2" t="s">
        <v>15</v>
      </c>
      <c r="D13" s="7">
        <f>SUM(D5:D12)</f>
        <v>9</v>
      </c>
      <c r="E13" s="5"/>
    </row>
    <row r="14" spans="1:5" x14ac:dyDescent="0.35">
      <c r="A14" s="2"/>
      <c r="B14" s="2"/>
      <c r="C14" s="2" t="s">
        <v>18</v>
      </c>
      <c r="D14" s="8">
        <f>D13*5/12+1</f>
        <v>4.75</v>
      </c>
      <c r="E14" s="5"/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3E41-3B38-4858-82E3-5ECDE6BF224A}">
  <dimension ref="A1:E14"/>
  <sheetViews>
    <sheetView workbookViewId="0">
      <selection sqref="A1:XFD1048576"/>
    </sheetView>
  </sheetViews>
  <sheetFormatPr baseColWidth="10" defaultRowHeight="18.5" x14ac:dyDescent="0.35"/>
  <cols>
    <col min="1" max="1" width="29.7265625" style="3" customWidth="1"/>
    <col min="2" max="2" width="54.81640625" style="3" customWidth="1"/>
    <col min="3" max="3" width="27.81640625" style="3" customWidth="1"/>
    <col min="4" max="4" width="10.90625" style="3"/>
    <col min="5" max="5" width="53.54296875" style="3" customWidth="1"/>
    <col min="6" max="16384" width="10.90625" style="3"/>
  </cols>
  <sheetData>
    <row r="1" spans="1:5" x14ac:dyDescent="0.35">
      <c r="A1" s="3" t="s">
        <v>17</v>
      </c>
    </row>
    <row r="3" spans="1:5" x14ac:dyDescent="0.35">
      <c r="A3" s="3" t="s">
        <v>36</v>
      </c>
    </row>
    <row r="4" spans="1:5" x14ac:dyDescent="0.35">
      <c r="A4" s="6" t="s">
        <v>2</v>
      </c>
      <c r="B4" s="6" t="s">
        <v>3</v>
      </c>
      <c r="C4" s="6" t="s">
        <v>4</v>
      </c>
      <c r="D4" s="6" t="s">
        <v>5</v>
      </c>
      <c r="E4" s="4" t="s">
        <v>16</v>
      </c>
    </row>
    <row r="5" spans="1:5" ht="96" x14ac:dyDescent="0.35">
      <c r="A5" s="2" t="s">
        <v>0</v>
      </c>
      <c r="B5" s="2" t="s">
        <v>6</v>
      </c>
      <c r="C5" s="2" t="s">
        <v>7</v>
      </c>
      <c r="D5" s="7">
        <v>1</v>
      </c>
      <c r="E5" s="9" t="s">
        <v>37</v>
      </c>
    </row>
    <row r="6" spans="1:5" x14ac:dyDescent="0.35">
      <c r="A6" s="2"/>
      <c r="B6" s="1"/>
      <c r="C6" s="2"/>
      <c r="D6" s="7"/>
      <c r="E6" s="9"/>
    </row>
    <row r="7" spans="1:5" ht="80" x14ac:dyDescent="0.35">
      <c r="A7" s="2" t="s">
        <v>8</v>
      </c>
      <c r="B7" s="2" t="s">
        <v>9</v>
      </c>
      <c r="C7" s="2" t="s">
        <v>13</v>
      </c>
      <c r="D7" s="7">
        <v>2</v>
      </c>
      <c r="E7" s="9" t="s">
        <v>38</v>
      </c>
    </row>
    <row r="8" spans="1:5" x14ac:dyDescent="0.35">
      <c r="A8" s="2"/>
      <c r="B8" s="2"/>
      <c r="C8" s="2"/>
      <c r="D8" s="7"/>
      <c r="E8" s="9"/>
    </row>
    <row r="9" spans="1:5" ht="65" x14ac:dyDescent="0.35">
      <c r="A9" s="2" t="s">
        <v>11</v>
      </c>
      <c r="B9" s="2" t="s">
        <v>10</v>
      </c>
      <c r="C9" s="2" t="s">
        <v>13</v>
      </c>
      <c r="D9" s="7">
        <v>2</v>
      </c>
      <c r="E9" s="9" t="s">
        <v>33</v>
      </c>
    </row>
    <row r="10" spans="1:5" x14ac:dyDescent="0.35">
      <c r="A10" s="2"/>
      <c r="B10" s="2"/>
      <c r="C10" s="2"/>
      <c r="D10" s="7"/>
      <c r="E10" s="9"/>
    </row>
    <row r="11" spans="1:5" ht="64" x14ac:dyDescent="0.35">
      <c r="A11" s="2" t="s">
        <v>1</v>
      </c>
      <c r="B11" s="2" t="s">
        <v>12</v>
      </c>
      <c r="C11" s="2" t="s">
        <v>13</v>
      </c>
      <c r="D11" s="7">
        <v>1</v>
      </c>
      <c r="E11" s="9" t="s">
        <v>39</v>
      </c>
    </row>
    <row r="12" spans="1:5" ht="64" x14ac:dyDescent="0.35">
      <c r="A12" s="2"/>
      <c r="B12" s="2" t="s">
        <v>14</v>
      </c>
      <c r="C12" s="2"/>
      <c r="D12" s="7"/>
      <c r="E12" s="9"/>
    </row>
    <row r="13" spans="1:5" x14ac:dyDescent="0.35">
      <c r="A13" s="2"/>
      <c r="B13" s="2"/>
      <c r="C13" s="2" t="s">
        <v>15</v>
      </c>
      <c r="D13" s="7">
        <f>SUM(D5:D12)</f>
        <v>6</v>
      </c>
      <c r="E13" s="5"/>
    </row>
    <row r="14" spans="1:5" x14ac:dyDescent="0.35">
      <c r="A14" s="2"/>
      <c r="B14" s="2"/>
      <c r="C14" s="2" t="s">
        <v>18</v>
      </c>
      <c r="D14" s="8">
        <f>D13*5/12+1</f>
        <v>3.5</v>
      </c>
      <c r="E14" s="5"/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F575-5178-4338-A861-F61DE7118EC5}">
  <dimension ref="A1:E14"/>
  <sheetViews>
    <sheetView workbookViewId="0">
      <selection sqref="A1:XFD1048576"/>
    </sheetView>
  </sheetViews>
  <sheetFormatPr baseColWidth="10" defaultRowHeight="18.5" x14ac:dyDescent="0.35"/>
  <cols>
    <col min="1" max="1" width="29.7265625" style="3" customWidth="1"/>
    <col min="2" max="2" width="54.81640625" style="3" customWidth="1"/>
    <col min="3" max="3" width="27.81640625" style="3" customWidth="1"/>
    <col min="4" max="4" width="10.90625" style="3"/>
    <col min="5" max="5" width="53.54296875" style="3" customWidth="1"/>
    <col min="6" max="16384" width="10.90625" style="3"/>
  </cols>
  <sheetData>
    <row r="1" spans="1:5" x14ac:dyDescent="0.35">
      <c r="A1" s="3" t="s">
        <v>17</v>
      </c>
    </row>
    <row r="3" spans="1:5" x14ac:dyDescent="0.35">
      <c r="A3" s="3" t="s">
        <v>40</v>
      </c>
    </row>
    <row r="4" spans="1:5" x14ac:dyDescent="0.35">
      <c r="A4" s="6" t="s">
        <v>2</v>
      </c>
      <c r="B4" s="6" t="s">
        <v>3</v>
      </c>
      <c r="C4" s="6" t="s">
        <v>4</v>
      </c>
      <c r="D4" s="6" t="s">
        <v>5</v>
      </c>
      <c r="E4" s="4" t="s">
        <v>16</v>
      </c>
    </row>
    <row r="5" spans="1:5" ht="96" x14ac:dyDescent="0.35">
      <c r="A5" s="2" t="s">
        <v>0</v>
      </c>
      <c r="B5" s="2" t="s">
        <v>6</v>
      </c>
      <c r="C5" s="2" t="s">
        <v>7</v>
      </c>
      <c r="D5" s="7">
        <v>3</v>
      </c>
      <c r="E5" s="9"/>
    </row>
    <row r="6" spans="1:5" x14ac:dyDescent="0.35">
      <c r="A6" s="2"/>
      <c r="B6" s="1"/>
      <c r="C6" s="2"/>
      <c r="D6" s="7"/>
      <c r="E6" s="9"/>
    </row>
    <row r="7" spans="1:5" ht="80" x14ac:dyDescent="0.35">
      <c r="A7" s="2" t="s">
        <v>8</v>
      </c>
      <c r="B7" s="2" t="s">
        <v>9</v>
      </c>
      <c r="C7" s="2" t="s">
        <v>13</v>
      </c>
      <c r="D7" s="7">
        <v>3</v>
      </c>
      <c r="E7" s="9"/>
    </row>
    <row r="8" spans="1:5" x14ac:dyDescent="0.35">
      <c r="A8" s="2"/>
      <c r="B8" s="2"/>
      <c r="C8" s="2"/>
      <c r="D8" s="7"/>
      <c r="E8" s="9"/>
    </row>
    <row r="9" spans="1:5" ht="64" x14ac:dyDescent="0.35">
      <c r="A9" s="2" t="s">
        <v>11</v>
      </c>
      <c r="B9" s="2" t="s">
        <v>10</v>
      </c>
      <c r="C9" s="2" t="s">
        <v>13</v>
      </c>
      <c r="D9" s="7">
        <v>2</v>
      </c>
      <c r="E9" s="9" t="s">
        <v>42</v>
      </c>
    </row>
    <row r="10" spans="1:5" x14ac:dyDescent="0.35">
      <c r="A10" s="2"/>
      <c r="B10" s="2"/>
      <c r="C10" s="2"/>
      <c r="D10" s="7"/>
      <c r="E10" s="9"/>
    </row>
    <row r="11" spans="1:5" ht="65" x14ac:dyDescent="0.35">
      <c r="A11" s="2" t="s">
        <v>1</v>
      </c>
      <c r="B11" s="2" t="s">
        <v>12</v>
      </c>
      <c r="C11" s="2" t="s">
        <v>13</v>
      </c>
      <c r="D11" s="7">
        <v>2</v>
      </c>
      <c r="E11" s="9" t="s">
        <v>41</v>
      </c>
    </row>
    <row r="12" spans="1:5" ht="64" x14ac:dyDescent="0.35">
      <c r="A12" s="2"/>
      <c r="B12" s="2" t="s">
        <v>14</v>
      </c>
      <c r="C12" s="2"/>
      <c r="D12" s="7"/>
      <c r="E12" s="9"/>
    </row>
    <row r="13" spans="1:5" x14ac:dyDescent="0.35">
      <c r="A13" s="2"/>
      <c r="B13" s="2"/>
      <c r="C13" s="2" t="s">
        <v>15</v>
      </c>
      <c r="D13" s="7">
        <f>SUM(D5:D12)</f>
        <v>10</v>
      </c>
      <c r="E13" s="5"/>
    </row>
    <row r="14" spans="1:5" x14ac:dyDescent="0.35">
      <c r="A14" s="2"/>
      <c r="B14" s="2"/>
      <c r="C14" s="2" t="s">
        <v>18</v>
      </c>
      <c r="D14" s="8">
        <f>D13*5/12+1</f>
        <v>5.166666666666667</v>
      </c>
      <c r="E14" s="5"/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6D19-0444-4BFA-B4AF-5891C0B6B37C}">
  <dimension ref="A1:E14"/>
  <sheetViews>
    <sheetView workbookViewId="0">
      <selection sqref="A1:XFD1048576"/>
    </sheetView>
  </sheetViews>
  <sheetFormatPr baseColWidth="10" defaultRowHeight="18.5" x14ac:dyDescent="0.35"/>
  <cols>
    <col min="1" max="1" width="29.7265625" style="3" customWidth="1"/>
    <col min="2" max="2" width="54.81640625" style="3" customWidth="1"/>
    <col min="3" max="3" width="27.81640625" style="3" customWidth="1"/>
    <col min="4" max="4" width="10.90625" style="3"/>
    <col min="5" max="5" width="53.54296875" style="3" customWidth="1"/>
    <col min="6" max="16384" width="10.90625" style="3"/>
  </cols>
  <sheetData>
    <row r="1" spans="1:5" x14ac:dyDescent="0.35">
      <c r="A1" s="3" t="s">
        <v>17</v>
      </c>
    </row>
    <row r="3" spans="1:5" x14ac:dyDescent="0.35">
      <c r="A3" s="3" t="s">
        <v>43</v>
      </c>
    </row>
    <row r="4" spans="1:5" x14ac:dyDescent="0.35">
      <c r="A4" s="6" t="s">
        <v>2</v>
      </c>
      <c r="B4" s="6" t="s">
        <v>3</v>
      </c>
      <c r="C4" s="6" t="s">
        <v>4</v>
      </c>
      <c r="D4" s="6" t="s">
        <v>5</v>
      </c>
      <c r="E4" s="4" t="s">
        <v>16</v>
      </c>
    </row>
    <row r="5" spans="1:5" ht="96" x14ac:dyDescent="0.35">
      <c r="A5" s="2" t="s">
        <v>0</v>
      </c>
      <c r="B5" s="2" t="s">
        <v>6</v>
      </c>
      <c r="C5" s="2" t="s">
        <v>7</v>
      </c>
      <c r="D5" s="7">
        <v>1</v>
      </c>
      <c r="E5" s="9" t="s">
        <v>45</v>
      </c>
    </row>
    <row r="6" spans="1:5" x14ac:dyDescent="0.35">
      <c r="A6" s="2"/>
      <c r="B6" s="1"/>
      <c r="C6" s="2"/>
      <c r="D6" s="7"/>
      <c r="E6" s="9"/>
    </row>
    <row r="7" spans="1:5" ht="80" x14ac:dyDescent="0.35">
      <c r="A7" s="2" t="s">
        <v>8</v>
      </c>
      <c r="B7" s="2" t="s">
        <v>9</v>
      </c>
      <c r="C7" s="2" t="s">
        <v>13</v>
      </c>
      <c r="D7" s="7">
        <v>2</v>
      </c>
      <c r="E7" s="9" t="s">
        <v>44</v>
      </c>
    </row>
    <row r="8" spans="1:5" x14ac:dyDescent="0.35">
      <c r="A8" s="2"/>
      <c r="B8" s="2"/>
      <c r="C8" s="2"/>
      <c r="D8" s="7"/>
      <c r="E8" s="9"/>
    </row>
    <row r="9" spans="1:5" ht="64" x14ac:dyDescent="0.35">
      <c r="A9" s="2" t="s">
        <v>11</v>
      </c>
      <c r="B9" s="2" t="s">
        <v>10</v>
      </c>
      <c r="C9" s="2" t="s">
        <v>13</v>
      </c>
      <c r="D9" s="7">
        <v>2</v>
      </c>
      <c r="E9" s="9" t="s">
        <v>42</v>
      </c>
    </row>
    <row r="10" spans="1:5" x14ac:dyDescent="0.35">
      <c r="A10" s="2"/>
      <c r="B10" s="2"/>
      <c r="C10" s="2"/>
      <c r="D10" s="7"/>
      <c r="E10" s="9"/>
    </row>
    <row r="11" spans="1:5" ht="64" x14ac:dyDescent="0.35">
      <c r="A11" s="2" t="s">
        <v>1</v>
      </c>
      <c r="B11" s="2" t="s">
        <v>12</v>
      </c>
      <c r="C11" s="2" t="s">
        <v>13</v>
      </c>
      <c r="D11" s="7">
        <v>2</v>
      </c>
      <c r="E11" s="9" t="s">
        <v>46</v>
      </c>
    </row>
    <row r="12" spans="1:5" ht="64" x14ac:dyDescent="0.35">
      <c r="A12" s="2"/>
      <c r="B12" s="2" t="s">
        <v>14</v>
      </c>
      <c r="C12" s="2"/>
      <c r="D12" s="7"/>
      <c r="E12" s="9"/>
    </row>
    <row r="13" spans="1:5" x14ac:dyDescent="0.35">
      <c r="A13" s="2"/>
      <c r="B13" s="2"/>
      <c r="C13" s="2" t="s">
        <v>15</v>
      </c>
      <c r="D13" s="7">
        <f>SUM(D5:D12)</f>
        <v>7</v>
      </c>
      <c r="E13" s="5"/>
    </row>
    <row r="14" spans="1:5" x14ac:dyDescent="0.35">
      <c r="A14" s="2"/>
      <c r="B14" s="2"/>
      <c r="C14" s="2" t="s">
        <v>18</v>
      </c>
      <c r="D14" s="8">
        <f>D13*5/12+1</f>
        <v>3.9166666666666665</v>
      </c>
      <c r="E14" s="5"/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F724-8802-451D-8A7A-B7F51450C1A2}">
  <dimension ref="A1:E14"/>
  <sheetViews>
    <sheetView workbookViewId="0">
      <selection sqref="A1:XFD1048576"/>
    </sheetView>
  </sheetViews>
  <sheetFormatPr baseColWidth="10" defaultRowHeight="18.5" x14ac:dyDescent="0.35"/>
  <cols>
    <col min="1" max="1" width="29.7265625" style="3" customWidth="1"/>
    <col min="2" max="2" width="54.81640625" style="3" customWidth="1"/>
    <col min="3" max="3" width="27.81640625" style="3" customWidth="1"/>
    <col min="4" max="4" width="10.90625" style="3"/>
    <col min="5" max="5" width="53.54296875" style="3" customWidth="1"/>
    <col min="6" max="16384" width="10.90625" style="3"/>
  </cols>
  <sheetData>
    <row r="1" spans="1:5" x14ac:dyDescent="0.35">
      <c r="A1" s="3" t="s">
        <v>17</v>
      </c>
    </row>
    <row r="3" spans="1:5" x14ac:dyDescent="0.35">
      <c r="A3" s="3" t="s">
        <v>47</v>
      </c>
    </row>
    <row r="4" spans="1:5" x14ac:dyDescent="0.35">
      <c r="A4" s="6" t="s">
        <v>2</v>
      </c>
      <c r="B4" s="6" t="s">
        <v>3</v>
      </c>
      <c r="C4" s="6" t="s">
        <v>4</v>
      </c>
      <c r="D4" s="6" t="s">
        <v>5</v>
      </c>
      <c r="E4" s="4" t="s">
        <v>16</v>
      </c>
    </row>
    <row r="5" spans="1:5" ht="96" x14ac:dyDescent="0.35">
      <c r="A5" s="2" t="s">
        <v>0</v>
      </c>
      <c r="B5" s="2" t="s">
        <v>6</v>
      </c>
      <c r="C5" s="2" t="s">
        <v>7</v>
      </c>
      <c r="D5" s="7">
        <v>3</v>
      </c>
      <c r="E5" s="9"/>
    </row>
    <row r="6" spans="1:5" x14ac:dyDescent="0.35">
      <c r="A6" s="2"/>
      <c r="B6" s="1"/>
      <c r="C6" s="2"/>
      <c r="D6" s="7"/>
      <c r="E6" s="9"/>
    </row>
    <row r="7" spans="1:5" ht="80" x14ac:dyDescent="0.35">
      <c r="A7" s="2" t="s">
        <v>8</v>
      </c>
      <c r="B7" s="2" t="s">
        <v>9</v>
      </c>
      <c r="C7" s="2" t="s">
        <v>13</v>
      </c>
      <c r="D7" s="7">
        <v>2</v>
      </c>
      <c r="E7" s="9" t="s">
        <v>44</v>
      </c>
    </row>
    <row r="8" spans="1:5" x14ac:dyDescent="0.35">
      <c r="A8" s="2"/>
      <c r="B8" s="2"/>
      <c r="C8" s="2"/>
      <c r="D8" s="7"/>
      <c r="E8" s="9"/>
    </row>
    <row r="9" spans="1:5" ht="64" x14ac:dyDescent="0.35">
      <c r="A9" s="2" t="s">
        <v>11</v>
      </c>
      <c r="B9" s="2" t="s">
        <v>10</v>
      </c>
      <c r="C9" s="2" t="s">
        <v>13</v>
      </c>
      <c r="D9" s="7">
        <v>3</v>
      </c>
      <c r="E9" s="9"/>
    </row>
    <row r="10" spans="1:5" x14ac:dyDescent="0.35">
      <c r="A10" s="2"/>
      <c r="B10" s="2"/>
      <c r="C10" s="2"/>
      <c r="D10" s="7"/>
      <c r="E10" s="9"/>
    </row>
    <row r="11" spans="1:5" ht="64" x14ac:dyDescent="0.35">
      <c r="A11" s="2" t="s">
        <v>1</v>
      </c>
      <c r="B11" s="2" t="s">
        <v>12</v>
      </c>
      <c r="C11" s="2" t="s">
        <v>13</v>
      </c>
      <c r="D11" s="7">
        <v>3</v>
      </c>
      <c r="E11" s="9" t="s">
        <v>48</v>
      </c>
    </row>
    <row r="12" spans="1:5" ht="64" x14ac:dyDescent="0.35">
      <c r="A12" s="2"/>
      <c r="B12" s="2" t="s">
        <v>14</v>
      </c>
      <c r="C12" s="2"/>
      <c r="D12" s="7"/>
      <c r="E12" s="9"/>
    </row>
    <row r="13" spans="1:5" x14ac:dyDescent="0.35">
      <c r="A13" s="2"/>
      <c r="B13" s="2"/>
      <c r="C13" s="2" t="s">
        <v>15</v>
      </c>
      <c r="D13" s="7">
        <f>SUM(D5:D12)</f>
        <v>11</v>
      </c>
      <c r="E13" s="5"/>
    </row>
    <row r="14" spans="1:5" x14ac:dyDescent="0.35">
      <c r="A14" s="2"/>
      <c r="B14" s="2"/>
      <c r="C14" s="2" t="s">
        <v>18</v>
      </c>
      <c r="D14" s="8">
        <f>D13*5/12+1</f>
        <v>5.583333333333333</v>
      </c>
      <c r="E14" s="5"/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58EC-C740-4F6F-95BC-87FA48D85125}">
  <dimension ref="A1:E14"/>
  <sheetViews>
    <sheetView workbookViewId="0">
      <selection sqref="A1:XFD1048576"/>
    </sheetView>
  </sheetViews>
  <sheetFormatPr baseColWidth="10" defaultRowHeight="18.5" x14ac:dyDescent="0.35"/>
  <cols>
    <col min="1" max="1" width="29.7265625" style="3" customWidth="1"/>
    <col min="2" max="2" width="54.81640625" style="3" customWidth="1"/>
    <col min="3" max="3" width="27.81640625" style="3" customWidth="1"/>
    <col min="4" max="4" width="10.90625" style="3"/>
    <col min="5" max="5" width="53.54296875" style="3" customWidth="1"/>
    <col min="6" max="16384" width="10.90625" style="3"/>
  </cols>
  <sheetData>
    <row r="1" spans="1:5" x14ac:dyDescent="0.35">
      <c r="A1" s="3" t="s">
        <v>17</v>
      </c>
    </row>
    <row r="3" spans="1:5" x14ac:dyDescent="0.35">
      <c r="A3" s="3" t="s">
        <v>49</v>
      </c>
    </row>
    <row r="4" spans="1:5" x14ac:dyDescent="0.35">
      <c r="A4" s="6" t="s">
        <v>2</v>
      </c>
      <c r="B4" s="6" t="s">
        <v>3</v>
      </c>
      <c r="C4" s="6" t="s">
        <v>4</v>
      </c>
      <c r="D4" s="6" t="s">
        <v>5</v>
      </c>
      <c r="E4" s="4" t="s">
        <v>16</v>
      </c>
    </row>
    <row r="5" spans="1:5" ht="96" x14ac:dyDescent="0.35">
      <c r="A5" s="2" t="s">
        <v>0</v>
      </c>
      <c r="B5" s="2" t="s">
        <v>6</v>
      </c>
      <c r="C5" s="2" t="s">
        <v>7</v>
      </c>
      <c r="D5" s="7">
        <v>3</v>
      </c>
      <c r="E5" s="9" t="s">
        <v>50</v>
      </c>
    </row>
    <row r="6" spans="1:5" x14ac:dyDescent="0.35">
      <c r="A6" s="2"/>
      <c r="B6" s="1"/>
      <c r="C6" s="2"/>
      <c r="D6" s="7"/>
      <c r="E6" s="9"/>
    </row>
    <row r="7" spans="1:5" ht="80" x14ac:dyDescent="0.35">
      <c r="A7" s="2" t="s">
        <v>8</v>
      </c>
      <c r="B7" s="2" t="s">
        <v>9</v>
      </c>
      <c r="C7" s="2" t="s">
        <v>13</v>
      </c>
      <c r="D7" s="7">
        <v>2</v>
      </c>
      <c r="E7" s="9" t="s">
        <v>51</v>
      </c>
    </row>
    <row r="8" spans="1:5" x14ac:dyDescent="0.35">
      <c r="A8" s="2"/>
      <c r="B8" s="2"/>
      <c r="C8" s="2"/>
      <c r="D8" s="7"/>
      <c r="E8" s="9"/>
    </row>
    <row r="9" spans="1:5" ht="64" x14ac:dyDescent="0.35">
      <c r="A9" s="2" t="s">
        <v>11</v>
      </c>
      <c r="B9" s="2" t="s">
        <v>10</v>
      </c>
      <c r="C9" s="2" t="s">
        <v>13</v>
      </c>
      <c r="D9" s="7">
        <v>3</v>
      </c>
      <c r="E9" s="9"/>
    </row>
    <row r="10" spans="1:5" x14ac:dyDescent="0.35">
      <c r="A10" s="2"/>
      <c r="B10" s="2"/>
      <c r="C10" s="2"/>
      <c r="D10" s="7"/>
      <c r="E10" s="9"/>
    </row>
    <row r="11" spans="1:5" ht="64" x14ac:dyDescent="0.35">
      <c r="A11" s="2" t="s">
        <v>1</v>
      </c>
      <c r="B11" s="2" t="s">
        <v>12</v>
      </c>
      <c r="C11" s="2" t="s">
        <v>13</v>
      </c>
      <c r="D11" s="7">
        <v>3</v>
      </c>
      <c r="E11" s="9" t="s">
        <v>52</v>
      </c>
    </row>
    <row r="12" spans="1:5" ht="64" x14ac:dyDescent="0.35">
      <c r="A12" s="2"/>
      <c r="B12" s="2" t="s">
        <v>14</v>
      </c>
      <c r="C12" s="2"/>
      <c r="D12" s="7"/>
      <c r="E12" s="9"/>
    </row>
    <row r="13" spans="1:5" x14ac:dyDescent="0.35">
      <c r="A13" s="2"/>
      <c r="B13" s="2"/>
      <c r="C13" s="2" t="s">
        <v>15</v>
      </c>
      <c r="D13" s="7">
        <f>SUM(D5:D12)</f>
        <v>11</v>
      </c>
      <c r="E13" s="5"/>
    </row>
    <row r="14" spans="1:5" x14ac:dyDescent="0.35">
      <c r="A14" s="2"/>
      <c r="B14" s="2"/>
      <c r="C14" s="2" t="s">
        <v>18</v>
      </c>
      <c r="D14" s="8">
        <f>D13*5/12+1</f>
        <v>5.583333333333333</v>
      </c>
      <c r="E14" s="5"/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5BEE-4718-4D39-9517-CD6662EBB391}">
  <dimension ref="A1:E14"/>
  <sheetViews>
    <sheetView workbookViewId="0">
      <selection sqref="A1:XFD1048576"/>
    </sheetView>
  </sheetViews>
  <sheetFormatPr baseColWidth="10" defaultRowHeight="18.5" x14ac:dyDescent="0.35"/>
  <cols>
    <col min="1" max="1" width="29.7265625" style="3" customWidth="1"/>
    <col min="2" max="2" width="54.81640625" style="3" customWidth="1"/>
    <col min="3" max="3" width="27.81640625" style="3" customWidth="1"/>
    <col min="4" max="4" width="10.90625" style="3"/>
    <col min="5" max="5" width="53.54296875" style="3" customWidth="1"/>
    <col min="6" max="16384" width="10.90625" style="3"/>
  </cols>
  <sheetData>
    <row r="1" spans="1:5" x14ac:dyDescent="0.35">
      <c r="A1" s="3" t="s">
        <v>17</v>
      </c>
    </row>
    <row r="3" spans="1:5" x14ac:dyDescent="0.35">
      <c r="A3" s="3" t="s">
        <v>53</v>
      </c>
    </row>
    <row r="4" spans="1:5" x14ac:dyDescent="0.35">
      <c r="A4" s="6" t="s">
        <v>2</v>
      </c>
      <c r="B4" s="6" t="s">
        <v>3</v>
      </c>
      <c r="C4" s="6" t="s">
        <v>4</v>
      </c>
      <c r="D4" s="6" t="s">
        <v>5</v>
      </c>
      <c r="E4" s="4" t="s">
        <v>16</v>
      </c>
    </row>
    <row r="5" spans="1:5" ht="96" x14ac:dyDescent="0.35">
      <c r="A5" s="2" t="s">
        <v>0</v>
      </c>
      <c r="B5" s="2" t="s">
        <v>6</v>
      </c>
      <c r="C5" s="2" t="s">
        <v>7</v>
      </c>
      <c r="D5" s="7">
        <v>3</v>
      </c>
      <c r="E5" s="9"/>
    </row>
    <row r="6" spans="1:5" x14ac:dyDescent="0.35">
      <c r="A6" s="2"/>
      <c r="B6" s="1"/>
      <c r="C6" s="2"/>
      <c r="D6" s="7"/>
      <c r="E6" s="9"/>
    </row>
    <row r="7" spans="1:5" ht="80" x14ac:dyDescent="0.35">
      <c r="A7" s="2" t="s">
        <v>8</v>
      </c>
      <c r="B7" s="2" t="s">
        <v>9</v>
      </c>
      <c r="C7" s="2" t="s">
        <v>13</v>
      </c>
      <c r="D7" s="7">
        <v>2</v>
      </c>
      <c r="E7" s="9" t="s">
        <v>54</v>
      </c>
    </row>
    <row r="8" spans="1:5" x14ac:dyDescent="0.35">
      <c r="A8" s="2"/>
      <c r="B8" s="2"/>
      <c r="C8" s="2"/>
      <c r="D8" s="7"/>
      <c r="E8" s="9"/>
    </row>
    <row r="9" spans="1:5" ht="64" x14ac:dyDescent="0.35">
      <c r="A9" s="2" t="s">
        <v>11</v>
      </c>
      <c r="B9" s="2" t="s">
        <v>10</v>
      </c>
      <c r="C9" s="2" t="s">
        <v>13</v>
      </c>
      <c r="D9" s="7">
        <v>3</v>
      </c>
      <c r="E9" s="9"/>
    </row>
    <row r="10" spans="1:5" x14ac:dyDescent="0.35">
      <c r="A10" s="2"/>
      <c r="B10" s="2"/>
      <c r="C10" s="2"/>
      <c r="D10" s="7"/>
      <c r="E10" s="9"/>
    </row>
    <row r="11" spans="1:5" ht="64" x14ac:dyDescent="0.35">
      <c r="A11" s="2" t="s">
        <v>1</v>
      </c>
      <c r="B11" s="2" t="s">
        <v>12</v>
      </c>
      <c r="C11" s="2" t="s">
        <v>13</v>
      </c>
      <c r="D11" s="7">
        <v>1</v>
      </c>
      <c r="E11" s="9" t="s">
        <v>55</v>
      </c>
    </row>
    <row r="12" spans="1:5" ht="64" x14ac:dyDescent="0.35">
      <c r="A12" s="2"/>
      <c r="B12" s="2" t="s">
        <v>14</v>
      </c>
      <c r="C12" s="2"/>
      <c r="D12" s="7"/>
      <c r="E12" s="9"/>
    </row>
    <row r="13" spans="1:5" x14ac:dyDescent="0.35">
      <c r="A13" s="2"/>
      <c r="B13" s="2"/>
      <c r="C13" s="2" t="s">
        <v>15</v>
      </c>
      <c r="D13" s="7">
        <f>SUM(D5:D12)</f>
        <v>9</v>
      </c>
      <c r="E13" s="5"/>
    </row>
    <row r="14" spans="1:5" x14ac:dyDescent="0.35">
      <c r="A14" s="2"/>
      <c r="B14" s="2"/>
      <c r="C14" s="2" t="s">
        <v>18</v>
      </c>
      <c r="D14" s="8">
        <f>D13*5/12+1</f>
        <v>4.75</v>
      </c>
      <c r="E14" s="5"/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325F-ACD8-4F0E-8760-D8486F3B2E7C}">
  <dimension ref="A1:E14"/>
  <sheetViews>
    <sheetView tabSelected="1" workbookViewId="0">
      <selection activeCell="C17" sqref="C17"/>
    </sheetView>
  </sheetViews>
  <sheetFormatPr baseColWidth="10" defaultRowHeight="18.5" x14ac:dyDescent="0.35"/>
  <cols>
    <col min="1" max="1" width="29.7265625" style="3" customWidth="1"/>
    <col min="2" max="2" width="54.81640625" style="3" customWidth="1"/>
    <col min="3" max="3" width="27.81640625" style="3" customWidth="1"/>
    <col min="4" max="4" width="10.90625" style="3"/>
    <col min="5" max="5" width="53.54296875" style="3" customWidth="1"/>
    <col min="6" max="16384" width="10.90625" style="3"/>
  </cols>
  <sheetData>
    <row r="1" spans="1:5" x14ac:dyDescent="0.35">
      <c r="A1" s="3" t="s">
        <v>17</v>
      </c>
    </row>
    <row r="3" spans="1:5" x14ac:dyDescent="0.35">
      <c r="A3" s="3" t="s">
        <v>56</v>
      </c>
    </row>
    <row r="4" spans="1:5" x14ac:dyDescent="0.35">
      <c r="A4" s="6" t="s">
        <v>2</v>
      </c>
      <c r="B4" s="6" t="s">
        <v>3</v>
      </c>
      <c r="C4" s="6" t="s">
        <v>4</v>
      </c>
      <c r="D4" s="6" t="s">
        <v>5</v>
      </c>
      <c r="E4" s="4" t="s">
        <v>16</v>
      </c>
    </row>
    <row r="5" spans="1:5" ht="96" x14ac:dyDescent="0.35">
      <c r="A5" s="2" t="s">
        <v>0</v>
      </c>
      <c r="B5" s="2" t="s">
        <v>6</v>
      </c>
      <c r="C5" s="2" t="s">
        <v>7</v>
      </c>
      <c r="D5" s="7">
        <v>3</v>
      </c>
      <c r="E5" s="9" t="s">
        <v>57</v>
      </c>
    </row>
    <row r="6" spans="1:5" x14ac:dyDescent="0.35">
      <c r="A6" s="2"/>
      <c r="B6" s="1"/>
      <c r="C6" s="2"/>
      <c r="D6" s="7"/>
      <c r="E6" s="9"/>
    </row>
    <row r="7" spans="1:5" ht="80" x14ac:dyDescent="0.35">
      <c r="A7" s="2" t="s">
        <v>8</v>
      </c>
      <c r="B7" s="2" t="s">
        <v>9</v>
      </c>
      <c r="C7" s="2" t="s">
        <v>13</v>
      </c>
      <c r="D7" s="7">
        <v>2</v>
      </c>
      <c r="E7" s="9" t="s">
        <v>54</v>
      </c>
    </row>
    <row r="8" spans="1:5" x14ac:dyDescent="0.35">
      <c r="A8" s="2"/>
      <c r="B8" s="2"/>
      <c r="C8" s="2"/>
      <c r="D8" s="7"/>
      <c r="E8" s="9"/>
    </row>
    <row r="9" spans="1:5" ht="64" x14ac:dyDescent="0.35">
      <c r="A9" s="2" t="s">
        <v>11</v>
      </c>
      <c r="B9" s="2" t="s">
        <v>10</v>
      </c>
      <c r="C9" s="2" t="s">
        <v>13</v>
      </c>
      <c r="D9" s="7">
        <v>3</v>
      </c>
      <c r="E9" s="9"/>
    </row>
    <row r="10" spans="1:5" x14ac:dyDescent="0.35">
      <c r="A10" s="2"/>
      <c r="B10" s="2"/>
      <c r="C10" s="2"/>
      <c r="D10" s="7"/>
      <c r="E10" s="9"/>
    </row>
    <row r="11" spans="1:5" ht="65" x14ac:dyDescent="0.35">
      <c r="A11" s="2" t="s">
        <v>1</v>
      </c>
      <c r="B11" s="2" t="s">
        <v>12</v>
      </c>
      <c r="C11" s="2" t="s">
        <v>13</v>
      </c>
      <c r="D11" s="7">
        <v>2</v>
      </c>
      <c r="E11" s="9" t="s">
        <v>58</v>
      </c>
    </row>
    <row r="12" spans="1:5" ht="64" x14ac:dyDescent="0.35">
      <c r="A12" s="2"/>
      <c r="B12" s="2" t="s">
        <v>14</v>
      </c>
      <c r="C12" s="2"/>
      <c r="D12" s="7"/>
      <c r="E12" s="9"/>
    </row>
    <row r="13" spans="1:5" x14ac:dyDescent="0.35">
      <c r="A13" s="2"/>
      <c r="B13" s="2"/>
      <c r="C13" s="2" t="s">
        <v>15</v>
      </c>
      <c r="D13" s="7">
        <f>SUM(D5:D12)</f>
        <v>10</v>
      </c>
      <c r="E13" s="5"/>
    </row>
    <row r="14" spans="1:5" x14ac:dyDescent="0.35">
      <c r="A14" s="2"/>
      <c r="B14" s="2"/>
      <c r="C14" s="2" t="s">
        <v>18</v>
      </c>
      <c r="D14" s="8">
        <f>D13*5/12+1</f>
        <v>5.166666666666667</v>
      </c>
      <c r="E14" s="5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Phile</vt:lpstr>
      <vt:lpstr>Sven</vt:lpstr>
      <vt:lpstr>Cristian</vt:lpstr>
      <vt:lpstr>Adrian</vt:lpstr>
      <vt:lpstr>Bismark</vt:lpstr>
      <vt:lpstr>Christoph</vt:lpstr>
      <vt:lpstr>Endri</vt:lpstr>
      <vt:lpstr>Leandro</vt:lpstr>
      <vt:lpstr>Manuel</vt:lpstr>
      <vt:lpstr>Patriot</vt:lpstr>
      <vt:lpstr>Salih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Müller</dc:creator>
  <cp:lastModifiedBy>Lukas Müller</cp:lastModifiedBy>
  <dcterms:created xsi:type="dcterms:W3CDTF">2025-10-10T14:04:16Z</dcterms:created>
  <dcterms:modified xsi:type="dcterms:W3CDTF">2025-10-11T08:17:45Z</dcterms:modified>
</cp:coreProperties>
</file>